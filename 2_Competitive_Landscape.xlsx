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Aggregators &amp; Terminals" sheetId="3" state="visible" r:id="rId3"/>
    <sheet xmlns:r="http://schemas.openxmlformats.org/officeDocument/2006/relationships" name="Gap Matrix" sheetId="4" state="visible" r:id="rId4"/>
    <sheet xmlns:r="http://schemas.openxmlformats.org/officeDocument/2006/relationships" name="Revenue 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&quot;x&quot;"/>
    <numFmt numFmtId="166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b val="1"/>
      <color rgb="000B1F3A"/>
      <sz val="11"/>
    </font>
    <font>
      <sz val="10"/>
    </font>
    <font>
      <b val="1"/>
      <color rgb="000000FF"/>
      <sz val="10"/>
    </font>
    <font>
      <i val="1"/>
      <color rgb="004B5563"/>
      <sz val="9"/>
    </font>
    <font>
      <b val="1"/>
      <color rgb="00FFFFFF"/>
      <sz val="10"/>
    </font>
    <font>
      <b val="1"/>
      <sz val="11"/>
    </font>
    <font>
      <b val="1"/>
      <color rgb="000000FF"/>
    </font>
    <font>
      <b val="1"/>
    </font>
    <font>
      <b val="1"/>
      <color rgb="000B1F3A"/>
      <sz val="12"/>
    </font>
    <font>
      <i val="1"/>
      <color rgb="004B5563"/>
      <sz val="10"/>
    </font>
    <font>
      <name val="Calibri"/>
      <b val="1"/>
      <color rgb="00FFFFFF"/>
      <sz val="18"/>
    </font>
    <font>
      <sz val="11"/>
    </font>
  </fonts>
  <fills count="9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0D9488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FDE68A"/>
      </patternFill>
    </fill>
    <fill>
      <patternFill patternType="solid">
        <fgColor rgb="00D1FAE5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5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9" fillId="3" borderId="1" applyAlignment="1" pivotButton="0" quotePrefix="0" xfId="0">
      <alignment horizontal="left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0" fontId="10" fillId="0" borderId="1" pivotButton="0" quotePrefix="0" xfId="0"/>
    <xf numFmtId="164" fontId="10" fillId="0" borderId="1" pivotButton="0" quotePrefix="0" xfId="0"/>
    <xf numFmtId="165" fontId="11" fillId="0" borderId="0" pivotButton="0" quotePrefix="0" xfId="0"/>
    <xf numFmtId="0" fontId="12" fillId="0" borderId="0" pivotButton="0" quotePrefix="0" xfId="0"/>
    <xf numFmtId="164" fontId="13" fillId="8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 ht="36" customHeight="1">
      <c r="A1" s="1" t="inlineStr">
        <is>
          <t>Prediction Market Terminal — Competitive Landscape</t>
        </is>
      </c>
    </row>
    <row r="3" ht="48" customHeight="1">
      <c r="A3" s="2" t="inlineStr">
        <is>
          <t>Prepared</t>
        </is>
      </c>
      <c r="B3" s="3" t="inlineStr">
        <is>
          <t>April 2026, v0.1 (internal planning)</t>
        </is>
      </c>
    </row>
    <row r="4" ht="48" customHeight="1">
      <c r="A4" s="2" t="inlineStr">
        <is>
          <t>Sheets</t>
        </is>
      </c>
      <c r="B4" s="3" t="inlineStr">
        <is>
          <t>Venues → Aggregators &amp; Terminals → Gap Matrix → Revenue Model</t>
        </is>
      </c>
    </row>
    <row r="5" ht="48" customHeight="1">
      <c r="A5" s="2" t="inlineStr">
        <is>
          <t>Purpose</t>
        </is>
      </c>
      <c r="B5" s="3" t="inlineStr">
        <is>
          <t>Map the field so we know exactly which holes the terminal fills and which players we ride, compete with, or sell to.</t>
        </is>
      </c>
    </row>
    <row r="6" ht="48" customHeight="1">
      <c r="A6" s="2" t="inlineStr">
        <is>
          <t>Key insight</t>
        </is>
      </c>
      <c r="B6" s="3" t="inlineStr">
        <is>
          <t>Three players already claim some version of 'Bloomberg for prediction markets' (Oddpool, Verso, Alphascope). Positioning alone is not defensible; the dataset + news-linkage graph + calibration scoring is.</t>
        </is>
      </c>
    </row>
    <row r="7" ht="48" customHeight="1">
      <c r="A7" s="2" t="inlineStr">
        <is>
          <t>Use</t>
        </is>
      </c>
      <c r="B7" s="3" t="inlineStr">
        <is>
          <t>Read left-to-right: who runs the rails, who else is trying to build the terminal layer, where the holes are, what the economics look like.</t>
        </is>
      </c>
    </row>
    <row r="8" ht="48" customHeight="1">
      <c r="A8" s="2" t="inlineStr">
        <is>
          <t>Caveats</t>
        </is>
      </c>
      <c r="B8" s="3" t="inlineStr">
        <is>
          <t>Volume estimates and pricing are public-source ballparks. Treat as directional, refresh quarterly.</t>
        </is>
      </c>
    </row>
    <row r="9" ht="48" customHeight="1">
      <c r="A9" s="2" t="inlineStr">
        <is>
          <t>Sources</t>
        </is>
      </c>
      <c r="B9" s="3" t="inlineStr">
        <is>
          <t>CFTC releases, Sidley / Holland &amp; Knight / Morgan Lewis alerts (Mar-Apr 2026), company sites, public press.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6" customWidth="1" min="3" max="3"/>
    <col width="28" customWidth="1" min="4" max="4"/>
    <col width="12" customWidth="1" min="5" max="5"/>
    <col width="18" customWidth="1" min="6" max="6"/>
    <col width="18" customWidth="1" min="7" max="7"/>
    <col width="22" customWidth="1" min="8" max="8"/>
    <col width="20" customWidth="1" min="9" max="9"/>
    <col width="16" customWidth="1" min="10" max="10"/>
    <col width="20" customWidth="1" min="11" max="11"/>
    <col width="28" customWidth="1" min="12" max="12"/>
    <col width="26" customWidth="1" min="13" max="13"/>
    <col width="28" customWidth="1" min="14" max="14"/>
  </cols>
  <sheetData>
    <row r="1" ht="28" customHeight="1">
      <c r="A1" s="4" t="inlineStr">
        <is>
          <t>Venues: the exchanges we depend on</t>
        </is>
      </c>
    </row>
    <row r="2" ht="32" customHeight="1">
      <c r="A2" s="5" t="inlineStr">
        <is>
          <t>Venue</t>
        </is>
      </c>
      <c r="B2" s="5" t="inlineStr">
        <is>
          <t>Type</t>
        </is>
      </c>
      <c r="C2" s="5" t="inlineStr">
        <is>
          <t>Regulatory status (as of Apr 2026)</t>
        </is>
      </c>
      <c r="D2" s="5" t="inlineStr">
        <is>
          <t>Core markets</t>
        </is>
      </c>
      <c r="E2" s="5" t="inlineStr">
        <is>
          <t>US customers?</t>
        </is>
      </c>
      <c r="F2" s="5" t="inlineStr">
        <is>
          <t>Liquidity tier</t>
        </is>
      </c>
      <c r="G2" s="5" t="inlineStr">
        <is>
          <t>API quality</t>
        </is>
      </c>
      <c r="H2" s="5" t="inlineStr">
        <is>
          <t>Public historical data?</t>
        </is>
      </c>
      <c r="I2" s="5" t="inlineStr">
        <is>
          <t>Est. monthly volume</t>
        </is>
      </c>
      <c r="J2" s="5" t="inlineStr">
        <is>
          <t>Fees (taker)</t>
        </is>
      </c>
      <c r="K2" s="5" t="inlineStr">
        <is>
          <t>Position limits</t>
        </is>
      </c>
      <c r="L2" s="5" t="inlineStr">
        <is>
          <t>Strategic stance</t>
        </is>
      </c>
      <c r="M2" s="5" t="inlineStr">
        <is>
          <t>Key risks</t>
        </is>
      </c>
      <c r="N2" s="5" t="inlineStr">
        <is>
          <t>Our leverage</t>
        </is>
      </c>
    </row>
    <row r="3" ht="60" customHeight="1">
      <c r="A3" s="6" t="inlineStr">
        <is>
          <t>Kalshi</t>
        </is>
      </c>
      <c r="B3" s="6" t="inlineStr">
        <is>
          <t>Centralized DCM (exchange)</t>
        </is>
      </c>
      <c r="C3" s="6" t="inlineStr">
        <is>
          <t>CFTC-registered DCM. 3rd Cir. (Apr 6, 2026) held CEA preempts state gambling law for sports event contracts. ~20 state disputes ongoing.</t>
        </is>
      </c>
      <c r="D3" s="6" t="inlineStr">
        <is>
          <t>Macro (CPI, Fed, jobs), politics, sports, weather, culture</t>
        </is>
      </c>
      <c r="E3" s="6" t="inlineStr">
        <is>
          <t>Yes (native)</t>
        </is>
      </c>
      <c r="F3" s="6" t="inlineStr">
        <is>
          <t>High (deepest US book on macro/politics)</t>
        </is>
      </c>
      <c r="G3" s="6" t="inlineStr">
        <is>
          <t>REST + WebSocket, decent</t>
        </is>
      </c>
      <c r="H3" s="6" t="inlineStr">
        <is>
          <t>Partial via API; no bulk historical download</t>
        </is>
      </c>
      <c r="I3" s="6" t="inlineStr">
        <is>
          <t>~$1B+ notional (2026 est.)</t>
        </is>
      </c>
      <c r="J3" s="6" t="inlineStr">
        <is>
          <t>0–2% depending on market</t>
        </is>
      </c>
      <c r="K3" s="6" t="inlineStr">
        <is>
          <t>Per-market, published on site</t>
        </is>
      </c>
      <c r="L3" s="6" t="inlineStr">
        <is>
          <t>Building distribution via CNN/CNBC data deals; trying to be 'the' US venue</t>
        </is>
      </c>
      <c r="M3" s="6" t="inlineStr">
        <is>
          <t>State regulatory pushback, concentration risk</t>
        </is>
      </c>
      <c r="N3" s="6" t="inlineStr">
        <is>
          <t>Our primary US data source. Must stay licensed/partner-friendly.</t>
        </is>
      </c>
    </row>
    <row r="4" ht="60" customHeight="1">
      <c r="A4" s="7" t="inlineStr">
        <is>
          <t>Polymarket</t>
        </is>
      </c>
      <c r="B4" s="7" t="inlineStr">
        <is>
          <t>Hybrid (Polygon + DCM)</t>
        </is>
      </c>
      <c r="C4" s="7" t="inlineStr">
        <is>
          <t>CFTC Amended Order Nov 2025 via QCEX acquisition ($112M). Relaunched US Dec 2, 2025. Nevada filed complaint Jan 2026.</t>
        </is>
      </c>
      <c r="D4" s="7" t="inlineStr">
        <is>
          <t>Politics, crypto, culture, sports, geopolitics (breadth leader)</t>
        </is>
      </c>
      <c r="E4" s="7" t="inlineStr">
        <is>
          <t>Yes (as of Dec 2025)</t>
        </is>
      </c>
      <c r="F4" s="7" t="inlineStr">
        <is>
          <t>Very high globally; ramping US</t>
        </is>
      </c>
      <c r="G4" s="7" t="inlineStr">
        <is>
          <t>Public on-chain + REST; on-chain is a gift for history</t>
        </is>
      </c>
      <c r="H4" s="7" t="inlineStr">
        <is>
          <t>Yes — on-chain events are queryable</t>
        </is>
      </c>
      <c r="I4" s="7" t="inlineStr">
        <is>
          <t>~$3–5B notional (2025 peak)</t>
        </is>
      </c>
      <c r="J4" s="7" t="inlineStr">
        <is>
          <t>Gas + small fee</t>
        </is>
      </c>
      <c r="K4" s="7" t="inlineStr">
        <is>
          <t>Generally higher than Kalshi</t>
        </is>
      </c>
      <c r="L4" s="7" t="inlineStr">
        <is>
          <t>Breadth and brand; hungry for media partnerships</t>
        </is>
      </c>
      <c r="M4" s="7" t="inlineStr">
        <is>
          <t>State pushback, on-chain UX friction for US retail</t>
        </is>
      </c>
      <c r="N4" s="7" t="inlineStr">
        <is>
          <t>Best breadth partner; on-chain data is a durable moat for us.</t>
        </is>
      </c>
    </row>
    <row r="5" ht="60" customHeight="1">
      <c r="A5" s="6" t="inlineStr">
        <is>
          <t>Manifold Markets</t>
        </is>
      </c>
      <c r="B5" s="6" t="inlineStr">
        <is>
          <t>Play-money + real-money social</t>
        </is>
      </c>
      <c r="C5" s="6" t="inlineStr">
        <is>
          <t>Non-DCM; social / prediction tournaments. Real-money product limited.</t>
        </is>
      </c>
      <c r="D5" s="6" t="inlineStr">
        <is>
          <t>Long-tail user-created markets (tech, AI, meta)</t>
        </is>
      </c>
      <c r="E5" s="6" t="inlineStr">
        <is>
          <t>Yes (play-money)</t>
        </is>
      </c>
      <c r="F5" s="6" t="inlineStr">
        <is>
          <t>Low real-liquidity; high long-tail coverage</t>
        </is>
      </c>
      <c r="G5" s="6" t="inlineStr">
        <is>
          <t>Public REST + full dump</t>
        </is>
      </c>
      <c r="H5" s="6" t="inlineStr">
        <is>
          <t>Yes — fully open</t>
        </is>
      </c>
      <c r="I5" s="6" t="inlineStr">
        <is>
          <t>Play-money; real ~$ minimal</t>
        </is>
      </c>
      <c r="J5" s="6" t="inlineStr">
        <is>
          <t>N/A</t>
        </is>
      </c>
      <c r="K5" s="6" t="inlineStr">
        <is>
          <t>Effectively none</t>
        </is>
      </c>
      <c r="L5" s="6" t="inlineStr">
        <is>
          <t>Community + long-tail signal; not institutional</t>
        </is>
      </c>
      <c r="M5" s="6" t="inlineStr">
        <is>
          <t>Play-money prices are noisy signal</t>
        </is>
      </c>
      <c r="N5" s="6" t="inlineStr">
        <is>
          <t>Cheap long-tail coverage + calibration benchmark vs. real-money venues.</t>
        </is>
      </c>
    </row>
    <row r="6" ht="60" customHeight="1">
      <c r="A6" s="7" t="inlineStr">
        <is>
          <t>PredictIt</t>
        </is>
      </c>
      <c r="B6" s="7" t="inlineStr">
        <is>
          <t>Academic exchange (CFTC no-action letter)</t>
        </is>
      </c>
      <c r="C6" s="7" t="inlineStr">
        <is>
          <t>Operates under CFTC no-action relief via Victoria University of Wellington. Limited to political markets, $850 cap per contract.</t>
        </is>
      </c>
      <c r="D6" s="7" t="inlineStr">
        <is>
          <t>US politics (narrow)</t>
        </is>
      </c>
      <c r="E6" s="7" t="inlineStr">
        <is>
          <t>Yes</t>
        </is>
      </c>
      <c r="F6" s="7" t="inlineStr">
        <is>
          <t>Low (capped)</t>
        </is>
      </c>
      <c r="G6" s="7" t="inlineStr">
        <is>
          <t>Public REST</t>
        </is>
      </c>
      <c r="H6" s="7" t="inlineStr">
        <is>
          <t>Yes — community archives widely used</t>
        </is>
      </c>
      <c r="I6" s="7" t="inlineStr">
        <is>
          <t>Small (&lt;$50M/yr)</t>
        </is>
      </c>
      <c r="J6" s="7" t="inlineStr">
        <is>
          <t>Flat fees</t>
        </is>
      </c>
      <c r="K6" s="7" t="inlineStr">
        <is>
          <t>$850 position cap per market</t>
        </is>
      </c>
      <c r="L6" s="7" t="inlineStr">
        <is>
          <t>Legacy academic market; relevance declining as Kalshi/Poly expand</t>
        </is>
      </c>
      <c r="M6" s="7" t="inlineStr">
        <is>
          <t>Future of no-action letter is uncertain</t>
        </is>
      </c>
      <c r="N6" s="7" t="inlineStr">
        <is>
          <t>Useful historical political dataset; low commercial priority.</t>
        </is>
      </c>
    </row>
    <row r="7" ht="60" customHeight="1">
      <c r="A7" s="6" t="inlineStr">
        <is>
          <t>Robinhood Event Contracts</t>
        </is>
      </c>
      <c r="B7" s="6" t="inlineStr">
        <is>
          <t>Broker offering Kalshi contracts</t>
        </is>
      </c>
      <c r="C7" s="6" t="inlineStr">
        <is>
          <t>Operates as introducing broker on top of Kalshi DCM. Some state cease-and-desists.</t>
        </is>
      </c>
      <c r="D7" s="6" t="inlineStr">
        <is>
          <t>Sports, macro, politics (via Kalshi)</t>
        </is>
      </c>
      <c r="E7" s="6" t="inlineStr">
        <is>
          <t>Yes</t>
        </is>
      </c>
      <c r="F7" s="6" t="inlineStr">
        <is>
          <t>Mid (inherits Kalshi)</t>
        </is>
      </c>
      <c r="G7" s="6" t="inlineStr">
        <is>
          <t>App-only; no public API</t>
        </is>
      </c>
      <c r="H7" s="6" t="inlineStr">
        <is>
          <t>No</t>
        </is>
      </c>
      <c r="I7" s="6" t="inlineStr">
        <is>
          <t>Material (retail-driven)</t>
        </is>
      </c>
      <c r="J7" s="6" t="inlineStr">
        <is>
          <t>Small spreads built in</t>
        </is>
      </c>
      <c r="K7" s="6" t="inlineStr">
        <is>
          <t>Retail-limited</t>
        </is>
      </c>
      <c r="L7" s="6" t="inlineStr">
        <is>
          <t>Distribution giant; could be customer (embed our data) or competitor</t>
        </is>
      </c>
      <c r="M7" s="6" t="inlineStr">
        <is>
          <t>State regulatory pushback</t>
        </is>
      </c>
      <c r="N7" s="6" t="inlineStr">
        <is>
          <t>Plausible white-label / API customer for us.</t>
        </is>
      </c>
    </row>
    <row r="8" ht="60" customHeight="1">
      <c r="A8" s="7" t="inlineStr">
        <is>
          <t>Crypto.com, Interactive Brokers (Forecast)</t>
        </is>
      </c>
      <c r="B8" s="7" t="inlineStr">
        <is>
          <t>Broker/DCM fronts</t>
        </is>
      </c>
      <c r="C8" s="7" t="inlineStr">
        <is>
          <t>Various CFTC structures; actively expanding in 2025–2026</t>
        </is>
      </c>
      <c r="D8" s="7" t="inlineStr">
        <is>
          <t>Overlaps Kalshi + Poly</t>
        </is>
      </c>
      <c r="E8" s="7" t="inlineStr">
        <is>
          <t>Yes</t>
        </is>
      </c>
      <c r="F8" s="7" t="inlineStr">
        <is>
          <t>Mid</t>
        </is>
      </c>
      <c r="G8" s="7" t="inlineStr">
        <is>
          <t>Partial APIs</t>
        </is>
      </c>
      <c r="H8" s="7" t="inlineStr">
        <is>
          <t>Limited</t>
        </is>
      </c>
      <c r="I8" s="7" t="inlineStr">
        <is>
          <t>Small but growing</t>
        </is>
      </c>
      <c r="J8" s="7" t="inlineStr">
        <is>
          <t>Varies</t>
        </is>
      </c>
      <c r="K8" s="7" t="inlineStr">
        <is>
          <t>Varies</t>
        </is>
      </c>
      <c r="L8" s="7" t="inlineStr">
        <is>
          <t>Distribution plays; venue-agnostic</t>
        </is>
      </c>
      <c r="M8" s="7" t="inlineStr">
        <is>
          <t>Fragmentation</t>
        </is>
      </c>
      <c r="N8" s="7" t="inlineStr">
        <is>
          <t>Additional data sources; potential channel partners.</t>
        </is>
      </c>
    </row>
    <row r="9" ht="60" customHeight="1">
      <c r="A9" s="6" t="inlineStr">
        <is>
          <t>FanDuel Predicts / DraftKings (exploring)</t>
        </is>
      </c>
      <c r="B9" s="6" t="inlineStr">
        <is>
          <t>Sportsbook-style entrants</t>
        </is>
      </c>
      <c r="C9" s="6" t="inlineStr">
        <is>
          <t>Regulatory ambiguity; sportsbook-to-prediction-market pivot in 2025–26</t>
        </is>
      </c>
      <c r="D9" s="6" t="inlineStr">
        <is>
          <t>Sports primarily</t>
        </is>
      </c>
      <c r="E9" s="6" t="inlineStr">
        <is>
          <t>Yes (select states)</t>
        </is>
      </c>
      <c r="F9" s="6" t="inlineStr">
        <is>
          <t>Growing fast</t>
        </is>
      </c>
      <c r="G9" s="6" t="inlineStr">
        <is>
          <t>Closed</t>
        </is>
      </c>
      <c r="H9" s="6" t="inlineStr">
        <is>
          <t>No</t>
        </is>
      </c>
      <c r="I9" s="6" t="inlineStr">
        <is>
          <t>Growing</t>
        </is>
      </c>
      <c r="J9" s="6" t="inlineStr">
        <is>
          <t>Sportsbook-style</t>
        </is>
      </c>
      <c r="K9" s="6" t="inlineStr">
        <is>
          <t>N/A-ish</t>
        </is>
      </c>
      <c r="L9" s="6" t="inlineStr">
        <is>
          <t>Wedge between sportsbook and DCM</t>
        </is>
      </c>
      <c r="M9" s="6" t="inlineStr">
        <is>
          <t>State vs. federal tension unresolved</t>
        </is>
      </c>
      <c r="N9" s="6" t="inlineStr">
        <is>
          <t>Not a venue we need to integrate day 1.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24" customWidth="1" min="4" max="4"/>
    <col width="18" customWidth="1" min="5" max="5"/>
    <col width="20" customWidth="1" min="6" max="6"/>
    <col width="22" customWidth="1" min="7" max="7"/>
    <col width="20" customWidth="1" min="8" max="8"/>
    <col width="20" customWidth="1" min="9" max="9"/>
    <col width="30" customWidth="1" min="10" max="10"/>
    <col width="30" customWidth="1" min="11" max="11"/>
    <col width="30" customWidth="1" min="12" max="12"/>
  </cols>
  <sheetData>
    <row r="1" ht="28" customHeight="1">
      <c r="A1" s="4" t="inlineStr">
        <is>
          <t>Aggregators &amp; terminals: direct competitors</t>
        </is>
      </c>
    </row>
    <row r="2" ht="32" customHeight="1">
      <c r="A2" s="5" t="inlineStr">
        <is>
          <t>Product</t>
        </is>
      </c>
      <c r="B2" s="5" t="inlineStr">
        <is>
          <t>Positioning</t>
        </is>
      </c>
      <c r="C2" s="5" t="inlineStr">
        <is>
          <t>Target user</t>
        </is>
      </c>
      <c r="D2" s="5" t="inlineStr">
        <is>
          <t>Coverage</t>
        </is>
      </c>
      <c r="E2" s="5" t="inlineStr">
        <is>
          <t>Institutional API?</t>
        </is>
      </c>
      <c r="F2" s="5" t="inlineStr">
        <is>
          <t>Historical data depth</t>
        </is>
      </c>
      <c r="G2" s="5" t="inlineStr">
        <is>
          <t>News/event linkage</t>
        </is>
      </c>
      <c r="H2" s="5" t="inlineStr">
        <is>
          <t>Pricing (public)</t>
        </is>
      </c>
      <c r="I2" s="5" t="inlineStr">
        <is>
          <t>Funding status (est.)</t>
        </is>
      </c>
      <c r="J2" s="5" t="inlineStr">
        <is>
          <t>Strengths</t>
        </is>
      </c>
      <c r="K2" s="5" t="inlineStr">
        <is>
          <t>Weaknesses</t>
        </is>
      </c>
      <c r="L2" s="5" t="inlineStr">
        <is>
          <t>Delta vs. us</t>
        </is>
      </c>
    </row>
    <row r="3" ht="60" customHeight="1">
      <c r="A3" s="6" t="inlineStr">
        <is>
          <t>Oddpool</t>
        </is>
      </c>
      <c r="B3" s="6" t="inlineStr">
        <is>
          <t>"Bloomberg for prediction markets" (direct positioning clash)</t>
        </is>
      </c>
      <c r="C3" s="6" t="inlineStr">
        <is>
          <t>Quants, traders, researchers</t>
        </is>
      </c>
      <c r="D3" s="6" t="inlineStr">
        <is>
          <t>Kalshi, Polymarket</t>
        </is>
      </c>
      <c r="E3" s="6" t="inlineStr">
        <is>
          <t>Yes (institutional feeds marketed)</t>
        </is>
      </c>
      <c r="F3" s="6" t="inlineStr">
        <is>
          <t>Medium</t>
        </is>
      </c>
      <c r="G3" s="6" t="inlineStr">
        <is>
          <t>Partial</t>
        </is>
      </c>
      <c r="H3" s="6" t="inlineStr">
        <is>
          <t>Not public; enterprise sales</t>
        </is>
      </c>
      <c r="I3" s="6" t="inlineStr">
        <is>
          <t>Early-stage, small team</t>
        </is>
      </c>
      <c r="J3" s="6" t="inlineStr">
        <is>
          <t>First-mover on the exact positioning; institutional-grade pitch</t>
        </is>
      </c>
      <c r="K3" s="6" t="inlineStr">
        <is>
          <t>Thin UX; unclear enterprise traction; narrow venue coverage</t>
        </is>
      </c>
      <c r="L3" s="6" t="inlineStr">
        <is>
          <t>We go deeper on news/event linkage + calibration moat.</t>
        </is>
      </c>
    </row>
    <row r="4" ht="60" customHeight="1">
      <c r="A4" s="7" t="inlineStr">
        <is>
          <t>Verso</t>
        </is>
      </c>
      <c r="B4" s="7" t="inlineStr">
        <is>
          <t>Pro terminal / news intelligence layer</t>
        </is>
      </c>
      <c r="C4" s="7" t="inlineStr">
        <is>
          <t>Prosumer + small funds</t>
        </is>
      </c>
      <c r="D4" s="7" t="inlineStr">
        <is>
          <t>Polymarket, Kalshi</t>
        </is>
      </c>
      <c r="E4" s="7" t="inlineStr">
        <is>
          <t>Limited</t>
        </is>
      </c>
      <c r="F4" s="7" t="inlineStr">
        <is>
          <t>Low–medium</t>
        </is>
      </c>
      <c r="G4" s="7" t="inlineStr">
        <is>
          <t>Yes (news is their pitch)</t>
        </is>
      </c>
      <c r="H4" s="7" t="inlineStr">
        <is>
          <t>Mid-$ subscription</t>
        </is>
      </c>
      <c r="I4" s="7" t="inlineStr">
        <is>
          <t>Bootstrapped / small</t>
        </is>
      </c>
      <c r="J4" s="7" t="inlineStr">
        <is>
          <t>Terminal-style UX, good news angle</t>
        </is>
      </c>
      <c r="K4" s="7" t="inlineStr">
        <is>
          <t>Shallow history; not institutional-grade</t>
        </is>
      </c>
      <c r="L4" s="7" t="inlineStr">
        <is>
          <t>We match news angle and add cross-venue arb + historical moat.</t>
        </is>
      </c>
    </row>
    <row r="5" ht="60" customHeight="1">
      <c r="A5" s="6" t="inlineStr">
        <is>
          <t>Matchr</t>
        </is>
      </c>
      <c r="B5" s="6" t="inlineStr">
        <is>
          <t>Universal aggregator + smart routing</t>
        </is>
      </c>
      <c r="C5" s="6" t="inlineStr">
        <is>
          <t>Active traders</t>
        </is>
      </c>
      <c r="D5" s="6" t="inlineStr">
        <is>
          <t>1,500+ markets across venues</t>
        </is>
      </c>
      <c r="E5" s="6" t="inlineStr">
        <is>
          <t>Some</t>
        </is>
      </c>
      <c r="F5" s="6" t="inlineStr">
        <is>
          <t>Low</t>
        </is>
      </c>
      <c r="G5" s="6" t="inlineStr">
        <is>
          <t>No</t>
        </is>
      </c>
      <c r="H5" s="6" t="inlineStr">
        <is>
          <t>Free + transaction-based</t>
        </is>
      </c>
      <c r="I5" s="6" t="inlineStr">
        <is>
          <t>Unclear</t>
        </is>
      </c>
      <c r="J5" s="6" t="inlineStr">
        <is>
          <t>Breadth; best-price routing angle</t>
        </is>
      </c>
      <c r="K5" s="6" t="inlineStr">
        <is>
          <t>Routing = regulatory exposure; not a data business</t>
        </is>
      </c>
      <c r="L5" s="6" t="inlineStr">
        <is>
          <t>We stay data-only → cleaner margin, cleaner compliance story.</t>
        </is>
      </c>
    </row>
    <row r="6" ht="60" customHeight="1">
      <c r="A6" s="7" t="inlineStr">
        <is>
          <t>Alphascope</t>
        </is>
      </c>
      <c r="B6" s="7" t="inlineStr">
        <is>
          <t>Analytics + AI forecasts</t>
        </is>
      </c>
      <c r="C6" s="7" t="inlineStr">
        <is>
          <t>Retail/prosumer</t>
        </is>
      </c>
      <c r="D6" s="7" t="inlineStr">
        <is>
          <t>All major venues</t>
        </is>
      </c>
      <c r="E6" s="7" t="inlineStr">
        <is>
          <t>No</t>
        </is>
      </c>
      <c r="F6" s="7" t="inlineStr">
        <is>
          <t>Low</t>
        </is>
      </c>
      <c r="G6" s="7" t="inlineStr">
        <is>
          <t>AI summaries</t>
        </is>
      </c>
      <c r="H6" s="7" t="inlineStr">
        <is>
          <t>Free / low-$</t>
        </is>
      </c>
      <c r="I6" s="7" t="inlineStr">
        <is>
          <t>Small</t>
        </is>
      </c>
      <c r="J6" s="7" t="inlineStr">
        <is>
          <t>AI narrative layer; easy to use</t>
        </is>
      </c>
      <c r="K6" s="7" t="inlineStr">
        <is>
          <t>AI-gloss over shallow data; not a research tool</t>
        </is>
      </c>
      <c r="L6" s="7" t="inlineStr">
        <is>
          <t>We sell the raw dataset + research tools; they sell chat.</t>
        </is>
      </c>
    </row>
    <row r="7" ht="60" customHeight="1">
      <c r="A7" s="6" t="inlineStr">
        <is>
          <t>FinFeed Prediction Markets API</t>
        </is>
      </c>
      <c r="B7" s="6" t="inlineStr">
        <is>
          <t>Pure API / data vendor</t>
        </is>
      </c>
      <c r="C7" s="6" t="inlineStr">
        <is>
          <t>Devs, fintechs</t>
        </is>
      </c>
      <c r="D7" s="6" t="inlineStr">
        <is>
          <t>Multiple venues</t>
        </is>
      </c>
      <c r="E7" s="6" t="inlineStr">
        <is>
          <t>Yes (API-first)</t>
        </is>
      </c>
      <c r="F7" s="6" t="inlineStr">
        <is>
          <t>Growing</t>
        </is>
      </c>
      <c r="G7" s="6" t="inlineStr">
        <is>
          <t>No</t>
        </is>
      </c>
      <c r="H7" s="6" t="inlineStr">
        <is>
          <t>Per-call / subscription</t>
        </is>
      </c>
      <c r="I7" s="6" t="inlineStr">
        <is>
          <t>Venture-backed (small)</t>
        </is>
      </c>
      <c r="J7" s="6" t="inlineStr">
        <is>
          <t>Clean API; easy integration</t>
        </is>
      </c>
      <c r="K7" s="6" t="inlineStr">
        <is>
          <t>No UX; just a feed</t>
        </is>
      </c>
      <c r="L7" s="6" t="inlineStr">
        <is>
          <t>We are both the feed AND the terminal — different buyer.</t>
        </is>
      </c>
    </row>
    <row r="8" ht="60" customHeight="1">
      <c r="A8" s="7" t="inlineStr">
        <is>
          <t>Dome (unified prediction market API)</t>
        </is>
      </c>
      <c r="B8" s="7" t="inlineStr">
        <is>
          <t>API aggregator</t>
        </is>
      </c>
      <c r="C8" s="7" t="inlineStr">
        <is>
          <t>Devs</t>
        </is>
      </c>
      <c r="D8" s="7" t="inlineStr">
        <is>
          <t>Multiple venues</t>
        </is>
      </c>
      <c r="E8" s="7" t="inlineStr">
        <is>
          <t>Yes</t>
        </is>
      </c>
      <c r="F8" s="7" t="inlineStr">
        <is>
          <t>Growing</t>
        </is>
      </c>
      <c r="G8" s="7" t="inlineStr">
        <is>
          <t>No</t>
        </is>
      </c>
      <c r="H8" s="7" t="inlineStr">
        <is>
          <t>Subscription / usage</t>
        </is>
      </c>
      <c r="I8" s="7" t="inlineStr">
        <is>
          <t>Unclear</t>
        </is>
      </c>
      <c r="J8" s="7" t="inlineStr">
        <is>
          <t>Developer-friendly</t>
        </is>
      </c>
      <c r="K8" s="7" t="inlineStr">
        <is>
          <t>API-only; commoditizing</t>
        </is>
      </c>
      <c r="L8" s="7" t="inlineStr">
        <is>
          <t>Risk: API gets cheap; we differentiate on analytics + history + UI.</t>
        </is>
      </c>
    </row>
    <row r="9" ht="60" customHeight="1">
      <c r="A9" s="6" t="inlineStr">
        <is>
          <t>Polymarket Analytics / community dashboards</t>
        </is>
      </c>
      <c r="B9" s="6" t="inlineStr">
        <is>
          <t>Free dashboards</t>
        </is>
      </c>
      <c r="C9" s="6" t="inlineStr">
        <is>
          <t>Crypto/retail</t>
        </is>
      </c>
      <c r="D9" s="6" t="inlineStr">
        <is>
          <t>Polymarket-only</t>
        </is>
      </c>
      <c r="E9" s="6" t="inlineStr">
        <is>
          <t>No</t>
        </is>
      </c>
      <c r="F9" s="6" t="inlineStr">
        <is>
          <t>Medium (on-chain)</t>
        </is>
      </c>
      <c r="G9" s="6" t="inlineStr">
        <is>
          <t>Community news links</t>
        </is>
      </c>
      <c r="H9" s="6" t="inlineStr">
        <is>
          <t>Free</t>
        </is>
      </c>
      <c r="I9" s="6" t="inlineStr">
        <is>
          <t>N/A</t>
        </is>
      </c>
      <c r="J9" s="6" t="inlineStr">
        <is>
          <t>Free, loved by community</t>
        </is>
      </c>
      <c r="K9" s="6" t="inlineStr">
        <is>
          <t>Single-venue, no institutional value</t>
        </is>
      </c>
      <c r="L9" s="6" t="inlineStr">
        <is>
          <t>Complements; not a threat.</t>
        </is>
      </c>
    </row>
    <row r="10" ht="60" customHeight="1">
      <c r="A10" s="7" t="inlineStr">
        <is>
          <t>Good Judgment / Metaculus</t>
        </is>
      </c>
      <c r="B10" s="7" t="inlineStr">
        <is>
          <t>Forecasting platforms (not markets)</t>
        </is>
      </c>
      <c r="C10" s="7" t="inlineStr">
        <is>
          <t>Researchers</t>
        </is>
      </c>
      <c r="D10" s="7" t="inlineStr">
        <is>
          <t>Questions, not contracts</t>
        </is>
      </c>
      <c r="E10" s="7" t="inlineStr">
        <is>
          <t>No</t>
        </is>
      </c>
      <c r="F10" s="7" t="inlineStr">
        <is>
          <t>Yes</t>
        </is>
      </c>
      <c r="G10" s="7" t="inlineStr">
        <is>
          <t>N/A</t>
        </is>
      </c>
      <c r="H10" s="7" t="inlineStr">
        <is>
          <t>Free / enterprise</t>
        </is>
      </c>
      <c r="I10" s="7" t="inlineStr">
        <is>
          <t>Non-profit / university</t>
        </is>
      </c>
      <c r="J10" s="7" t="inlineStr">
        <is>
          <t>Calibration rigor</t>
        </is>
      </c>
      <c r="K10" s="7" t="inlineStr">
        <is>
          <t>Not a market; no liquidity data</t>
        </is>
      </c>
      <c r="L10" s="7" t="inlineStr">
        <is>
          <t>Signal input, not a competitor.</t>
        </is>
      </c>
    </row>
    <row r="11" ht="60" customHeight="1">
      <c r="A11" s="6" t="inlineStr">
        <is>
          <t>Bloomberg / Refinitiv / FactSet</t>
        </is>
      </c>
      <c r="B11" s="6" t="inlineStr">
        <is>
          <t>Institutional terminals (incumbents)</t>
        </is>
      </c>
      <c r="C11" s="6" t="inlineStr">
        <is>
          <t>Every institution on earth</t>
        </is>
      </c>
      <c r="D11" s="6" t="inlineStr">
        <is>
          <t>No prediction market coverage today</t>
        </is>
      </c>
      <c r="E11" s="6" t="inlineStr">
        <is>
          <t>Yes (general)</t>
        </is>
      </c>
      <c r="F11" s="6" t="inlineStr">
        <is>
          <t>Deep on other assets</t>
        </is>
      </c>
      <c r="G11" s="6" t="inlineStr">
        <is>
          <t>General</t>
        </is>
      </c>
      <c r="H11" s="6" t="inlineStr">
        <is>
          <t>$2k–24k/user/yr</t>
        </is>
      </c>
      <c r="I11" s="6" t="inlineStr">
        <is>
          <t>Public, massive</t>
        </is>
      </c>
      <c r="J11" s="6" t="inlineStr">
        <is>
          <t>Distribution; potential future acquirer</t>
        </is>
      </c>
      <c r="K11" s="6" t="inlineStr">
        <is>
          <t>Slow to add new asset classes; will buy, not build</t>
        </is>
      </c>
      <c r="L11" s="6" t="inlineStr">
        <is>
          <t>Our realistic acquirer. Build so they buy; don’t build to compete head-on.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2" customWidth="1" min="4" max="4"/>
    <col width="12" customWidth="1" min="5" max="5"/>
    <col width="12" customWidth="1" min="6" max="6"/>
    <col width="14" customWidth="1" min="7" max="7"/>
    <col width="22" customWidth="1" min="8" max="8"/>
  </cols>
  <sheetData>
    <row r="1" ht="28" customHeight="1">
      <c r="A1" s="4" t="inlineStr">
        <is>
          <t>Gap matrix: where we beat the field</t>
        </is>
      </c>
    </row>
    <row r="2" ht="40" customHeight="1">
      <c r="A2" s="8" t="inlineStr">
        <is>
          <t>Feature</t>
        </is>
      </c>
      <c r="B2" s="8" t="inlineStr">
        <is>
          <t>Kalshi (native)</t>
        </is>
      </c>
      <c r="C2" s="8" t="inlineStr">
        <is>
          <t>Polymarket (native)</t>
        </is>
      </c>
      <c r="D2" s="8" t="inlineStr">
        <is>
          <t>Oddpool</t>
        </is>
      </c>
      <c r="E2" s="8" t="inlineStr">
        <is>
          <t>Verso</t>
        </is>
      </c>
      <c r="F2" s="8" t="inlineStr">
        <is>
          <t>Matchr</t>
        </is>
      </c>
      <c r="G2" s="8" t="inlineStr">
        <is>
          <t>Alphascope</t>
        </is>
      </c>
      <c r="H2" s="8" t="inlineStr">
        <is>
          <t>US v1 (us)</t>
        </is>
      </c>
    </row>
    <row r="3" ht="28" customHeight="1">
      <c r="A3" s="9" t="inlineStr">
        <is>
          <t>Cross-venue unified order book</t>
        </is>
      </c>
      <c r="B3" s="10" t="inlineStr">
        <is>
          <t>No</t>
        </is>
      </c>
      <c r="C3" s="10" t="inlineStr">
        <is>
          <t>No</t>
        </is>
      </c>
      <c r="D3" s="11" t="inlineStr">
        <is>
          <t>Partial</t>
        </is>
      </c>
      <c r="E3" s="11" t="inlineStr">
        <is>
          <t>Partial</t>
        </is>
      </c>
      <c r="F3" s="12" t="inlineStr">
        <is>
          <t>Yes</t>
        </is>
      </c>
      <c r="G3" s="11" t="inlineStr">
        <is>
          <t>Partial</t>
        </is>
      </c>
      <c r="H3" s="12" t="inlineStr">
        <is>
          <t>Yes</t>
        </is>
      </c>
    </row>
    <row r="4" ht="28" customHeight="1">
      <c r="A4" s="9" t="inlineStr">
        <is>
          <t>Normalized historical tick data (&gt;2yr)</t>
        </is>
      </c>
      <c r="B4" s="10" t="inlineStr">
        <is>
          <t>No</t>
        </is>
      </c>
      <c r="C4" s="11" t="inlineStr">
        <is>
          <t>On-chain only</t>
        </is>
      </c>
      <c r="D4" s="10" t="inlineStr">
        <is>
          <t>No</t>
        </is>
      </c>
      <c r="E4" s="10" t="inlineStr">
        <is>
          <t>No</t>
        </is>
      </c>
      <c r="F4" s="10" t="inlineStr">
        <is>
          <t>No</t>
        </is>
      </c>
      <c r="G4" s="10" t="inlineStr">
        <is>
          <t>No</t>
        </is>
      </c>
      <c r="H4" s="12" t="inlineStr">
        <is>
          <t>Yes</t>
        </is>
      </c>
    </row>
    <row r="5" ht="28" customHeight="1">
      <c r="A5" s="9" t="inlineStr">
        <is>
          <t>Calibration scores by issuer/category</t>
        </is>
      </c>
      <c r="B5" s="10" t="inlineStr">
        <is>
          <t>No</t>
        </is>
      </c>
      <c r="C5" s="10" t="inlineStr">
        <is>
          <t>No</t>
        </is>
      </c>
      <c r="D5" s="10" t="inlineStr">
        <is>
          <t>No</t>
        </is>
      </c>
      <c r="E5" s="10" t="inlineStr">
        <is>
          <t>No</t>
        </is>
      </c>
      <c r="F5" s="10" t="inlineStr">
        <is>
          <t>No</t>
        </is>
      </c>
      <c r="G5" s="11" t="inlineStr">
        <is>
          <t>Partial</t>
        </is>
      </c>
      <c r="H5" s="12" t="inlineStr">
        <is>
          <t>Yes</t>
        </is>
      </c>
    </row>
    <row r="6" ht="28" customHeight="1">
      <c r="A6" s="9" t="inlineStr">
        <is>
          <t>Macro overlay (CPI, Fed, equities)</t>
        </is>
      </c>
      <c r="B6" s="10" t="inlineStr">
        <is>
          <t>No</t>
        </is>
      </c>
      <c r="C6" s="10" t="inlineStr">
        <is>
          <t>No</t>
        </is>
      </c>
      <c r="D6" s="10" t="inlineStr">
        <is>
          <t>No</t>
        </is>
      </c>
      <c r="E6" s="10" t="inlineStr">
        <is>
          <t>No</t>
        </is>
      </c>
      <c r="F6" s="10" t="inlineStr">
        <is>
          <t>No</t>
        </is>
      </c>
      <c r="G6" s="10" t="inlineStr">
        <is>
          <t>No</t>
        </is>
      </c>
      <c r="H6" s="12" t="inlineStr">
        <is>
          <t>Yes</t>
        </is>
      </c>
    </row>
    <row r="7" ht="28" customHeight="1">
      <c r="A7" s="9" t="inlineStr">
        <is>
          <t>News &amp; filings linkage to markets</t>
        </is>
      </c>
      <c r="B7" s="10" t="inlineStr">
        <is>
          <t>No</t>
        </is>
      </c>
      <c r="C7" s="10" t="inlineStr">
        <is>
          <t>No</t>
        </is>
      </c>
      <c r="D7" s="11" t="inlineStr">
        <is>
          <t>Partial</t>
        </is>
      </c>
      <c r="E7" s="12" t="inlineStr">
        <is>
          <t>Yes</t>
        </is>
      </c>
      <c r="F7" s="10" t="inlineStr">
        <is>
          <t>No</t>
        </is>
      </c>
      <c r="G7" s="11" t="inlineStr">
        <is>
          <t>AI-only</t>
        </is>
      </c>
      <c r="H7" s="12" t="inlineStr">
        <is>
          <t>Yes</t>
        </is>
      </c>
    </row>
    <row r="8" ht="28" customHeight="1">
      <c r="A8" s="9" t="inlineStr">
        <is>
          <t>Programmatic API (institutional)</t>
        </is>
      </c>
      <c r="B8" s="12" t="inlineStr">
        <is>
          <t>Yes</t>
        </is>
      </c>
      <c r="C8" s="12" t="inlineStr">
        <is>
          <t>Yes</t>
        </is>
      </c>
      <c r="D8" s="12" t="inlineStr">
        <is>
          <t>Yes</t>
        </is>
      </c>
      <c r="E8" s="11" t="inlineStr">
        <is>
          <t>Partial</t>
        </is>
      </c>
      <c r="F8" s="11" t="inlineStr">
        <is>
          <t>Partial</t>
        </is>
      </c>
      <c r="G8" s="10" t="inlineStr">
        <is>
          <t>No</t>
        </is>
      </c>
      <c r="H8" s="12" t="inlineStr">
        <is>
          <t>Yes</t>
        </is>
      </c>
    </row>
    <row r="9" ht="28" customHeight="1">
      <c r="A9" s="9" t="inlineStr">
        <is>
          <t>Backtesting / research workflow</t>
        </is>
      </c>
      <c r="B9" s="10" t="inlineStr">
        <is>
          <t>No</t>
        </is>
      </c>
      <c r="C9" s="10" t="inlineStr">
        <is>
          <t>No</t>
        </is>
      </c>
      <c r="D9" s="10" t="inlineStr">
        <is>
          <t>No</t>
        </is>
      </c>
      <c r="E9" s="10" t="inlineStr">
        <is>
          <t>No</t>
        </is>
      </c>
      <c r="F9" s="10" t="inlineStr">
        <is>
          <t>No</t>
        </is>
      </c>
      <c r="G9" s="10" t="inlineStr">
        <is>
          <t>No</t>
        </is>
      </c>
      <c r="H9" s="12" t="inlineStr">
        <is>
          <t>Yes</t>
        </is>
      </c>
    </row>
    <row r="10" ht="28" customHeight="1">
      <c r="A10" s="9" t="inlineStr">
        <is>
          <t>White-label media widgets</t>
        </is>
      </c>
      <c r="B10" s="11" t="inlineStr">
        <is>
          <t>Partner-only</t>
        </is>
      </c>
      <c r="C10" s="10" t="inlineStr">
        <is>
          <t>No</t>
        </is>
      </c>
      <c r="D10" s="10" t="inlineStr">
        <is>
          <t>No</t>
        </is>
      </c>
      <c r="E10" s="10" t="inlineStr">
        <is>
          <t>No</t>
        </is>
      </c>
      <c r="F10" s="10" t="inlineStr">
        <is>
          <t>No</t>
        </is>
      </c>
      <c r="G10" s="10" t="inlineStr">
        <is>
          <t>No</t>
        </is>
      </c>
      <c r="H10" s="12" t="inlineStr">
        <is>
          <t>Yes</t>
        </is>
      </c>
    </row>
    <row r="11" ht="28" customHeight="1">
      <c r="A11" s="9" t="inlineStr">
        <is>
          <t>Compliance-grade US posture</t>
        </is>
      </c>
      <c r="B11" s="13" t="inlineStr">
        <is>
          <t>Yes (venue)</t>
        </is>
      </c>
      <c r="C11" s="13" t="inlineStr">
        <is>
          <t>Yes (Dec 2025)</t>
        </is>
      </c>
      <c r="D11" s="11" t="inlineStr">
        <is>
          <t>Unclear</t>
        </is>
      </c>
      <c r="E11" s="11" t="inlineStr">
        <is>
          <t>Unclear</t>
        </is>
      </c>
      <c r="F11" s="13" t="inlineStr">
        <is>
          <t>Risky (routing)</t>
        </is>
      </c>
      <c r="G11" s="11" t="inlineStr">
        <is>
          <t>Unclear</t>
        </is>
      </c>
      <c r="H11" s="11" t="inlineStr">
        <is>
          <t>Data-only by design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4" t="inlineStr">
        <is>
          <t>Revenue model: path to $5M+ ARR (valuation anchor ~$100M)</t>
        </is>
      </c>
    </row>
    <row r="3">
      <c r="A3" s="14" t="inlineStr">
        <is>
          <t>ASSUMPTIONS (edit blue cells)</t>
        </is>
      </c>
    </row>
    <row r="4">
      <c r="A4" s="15" t="inlineStr">
        <is>
          <t>Pro seats (individual quants/analysts)</t>
        </is>
      </c>
      <c r="B4" s="16" t="n">
        <v>600</v>
      </c>
      <c r="C4" s="17" t="inlineStr">
        <is>
          <t>Annualized seat count at steady state</t>
        </is>
      </c>
    </row>
    <row r="5">
      <c r="A5" s="15" t="inlineStr">
        <is>
          <t>Pro seat price ($/mo)</t>
        </is>
      </c>
      <c r="B5" s="18" t="n">
        <v>99</v>
      </c>
      <c r="C5" s="17" t="inlineStr">
        <is>
          <t>Self-serve tier</t>
        </is>
      </c>
    </row>
    <row r="6">
      <c r="A6" s="15" t="inlineStr">
        <is>
          <t>Desk/team seats (fund/prop shop)</t>
        </is>
      </c>
      <c r="B6" s="16" t="n">
        <v>180</v>
      </c>
      <c r="C6" s="17" t="inlineStr">
        <is>
          <t>Paid seats across 20-30 firms</t>
        </is>
      </c>
    </row>
    <row r="7">
      <c r="A7" s="15" t="inlineStr">
        <is>
          <t>Desk seat price ($/mo)</t>
        </is>
      </c>
      <c r="B7" s="18" t="n">
        <v>750</v>
      </c>
      <c r="C7" s="17" t="inlineStr">
        <is>
          <t>Mid of $500-$2,000 range</t>
        </is>
      </c>
    </row>
    <row r="8">
      <c r="A8" s="15" t="inlineStr">
        <is>
          <t>Enterprise/API customers</t>
        </is>
      </c>
      <c r="B8" s="16" t="n">
        <v>20</v>
      </c>
      <c r="C8" s="17" t="inlineStr">
        <is>
          <t>Funds, data vendors, sportsbooks</t>
        </is>
      </c>
    </row>
    <row r="9">
      <c r="A9" s="15" t="inlineStr">
        <is>
          <t>Enterprise ACV ($/yr)</t>
        </is>
      </c>
      <c r="B9" s="18" t="n">
        <v>72000</v>
      </c>
      <c r="C9" s="17" t="inlineStr">
        <is>
          <t>Mid of $2k-10k/mo range</t>
        </is>
      </c>
    </row>
    <row r="10">
      <c r="A10" s="15" t="inlineStr">
        <is>
          <t>Media/white-label customers</t>
        </is>
      </c>
      <c r="B10" s="16" t="n">
        <v>12</v>
      </c>
      <c r="C10" s="17" t="inlineStr">
        <is>
          <t>Newsrooms, creators, publishers</t>
        </is>
      </c>
    </row>
    <row r="11">
      <c r="A11" s="15" t="inlineStr">
        <is>
          <t>Media ACV ($/yr)</t>
        </is>
      </c>
      <c r="B11" s="18" t="n">
        <v>45000</v>
      </c>
      <c r="C11" s="17" t="inlineStr">
        <is>
          <t>$5k-$60k/yr range</t>
        </is>
      </c>
    </row>
    <row r="12">
      <c r="A12" s="15" t="inlineStr">
        <is>
          <t>Target ARR multiple (early data/fintech)</t>
        </is>
      </c>
      <c r="B12" s="19" t="n">
        <v>22</v>
      </c>
      <c r="C12" s="17" t="inlineStr">
        <is>
          <t>Range 15-30x; varies w/ growth &amp; mix</t>
        </is>
      </c>
    </row>
    <row r="14">
      <c r="A14" s="14" t="inlineStr">
        <is>
          <t>REVENUE LINES</t>
        </is>
      </c>
    </row>
    <row r="15">
      <c r="A15" s="20" t="inlineStr">
        <is>
          <t>Revenue line</t>
        </is>
      </c>
      <c r="B15" s="20" t="inlineStr">
        <is>
          <t>Seats/Customers</t>
        </is>
      </c>
      <c r="C15" s="20" t="inlineStr">
        <is>
          <t>Avg price</t>
        </is>
      </c>
      <c r="D15" s="20" t="inlineStr">
        <is>
          <t>ARR</t>
        </is>
      </c>
      <c r="E15" s="20" t="inlineStr">
        <is>
          <t>% of total</t>
        </is>
      </c>
    </row>
    <row r="16">
      <c r="A16" s="21" t="inlineStr">
        <is>
          <t>Pro seats (individuals)</t>
        </is>
      </c>
      <c r="B16" s="22">
        <f>B4</f>
        <v/>
      </c>
      <c r="C16" s="23">
        <f>B5</f>
        <v/>
      </c>
      <c r="D16" s="23">
        <f>B4*B5*12</f>
        <v/>
      </c>
      <c r="E16" s="24">
        <f>IFERROR(D16/D20,0)</f>
        <v/>
      </c>
    </row>
    <row r="17">
      <c r="A17" s="21" t="inlineStr">
        <is>
          <t>Desk/team seats</t>
        </is>
      </c>
      <c r="B17" s="22">
        <f>B6</f>
        <v/>
      </c>
      <c r="C17" s="23">
        <f>B7</f>
        <v/>
      </c>
      <c r="D17" s="23">
        <f>B6*B7*12</f>
        <v/>
      </c>
      <c r="E17" s="24">
        <f>IFERROR(D17/D20,0)</f>
        <v/>
      </c>
    </row>
    <row r="18">
      <c r="A18" s="21" t="inlineStr">
        <is>
          <t>Enterprise / API</t>
        </is>
      </c>
      <c r="B18" s="22">
        <f>B8</f>
        <v/>
      </c>
      <c r="C18" s="23">
        <f>B9</f>
        <v/>
      </c>
      <c r="D18" s="23">
        <f>B8*B9</f>
        <v/>
      </c>
      <c r="E18" s="24">
        <f>IFERROR(D18/D20,0)</f>
        <v/>
      </c>
    </row>
    <row r="19">
      <c r="A19" s="21" t="inlineStr">
        <is>
          <t>Media / white-label</t>
        </is>
      </c>
      <c r="B19" s="22">
        <f>B10</f>
        <v/>
      </c>
      <c r="C19" s="23">
        <f>B11</f>
        <v/>
      </c>
      <c r="D19" s="23">
        <f>B10*B11</f>
        <v/>
      </c>
      <c r="E19" s="24">
        <f>IFERROR(D19/D20,0)</f>
        <v/>
      </c>
    </row>
    <row r="20">
      <c r="A20" s="25" t="inlineStr">
        <is>
          <t>TOTAL ARR</t>
        </is>
      </c>
      <c r="B20" s="22" t="n"/>
      <c r="C20" s="23" t="n"/>
      <c r="D20" s="26">
        <f>SUM(D16:D19)</f>
        <v/>
      </c>
      <c r="E20" s="21" t="n"/>
    </row>
    <row r="22">
      <c r="A22" s="14" t="inlineStr">
        <is>
          <t>VALUATION SNAPSHOT</t>
        </is>
      </c>
    </row>
    <row r="23">
      <c r="A23" t="inlineStr">
        <is>
          <t>ARR multiple applied</t>
        </is>
      </c>
      <c r="B23" s="27">
        <f>B12</f>
        <v/>
      </c>
    </row>
    <row r="24">
      <c r="A24" s="28" t="inlineStr">
        <is>
          <t>Implied valuation</t>
        </is>
      </c>
      <c r="B24" s="29">
        <f>D20*B12</f>
        <v/>
      </c>
    </row>
    <row r="26">
      <c r="A26" s="14" t="inlineStr">
        <is>
          <t>NOTES</t>
        </is>
      </c>
    </row>
    <row r="27">
      <c r="A27" s="30" t="inlineStr">
        <is>
          <t>• Blue cells are inputs. Change seat counts, pricing, or multiple to see implied valuation.</t>
        </is>
      </c>
    </row>
    <row r="28">
      <c r="A28" s="30" t="inlineStr">
        <is>
          <t>• Mix matters as much as total ARR: enterprise + desk dollars get a higher multiple than pro seat dollars.</t>
        </is>
      </c>
    </row>
    <row r="29">
      <c r="A29" s="30" t="inlineStr">
        <is>
          <t>• Year-1 target is proving the model at ~$300k-$1M ARR, then scale desk + enterprise to reach $5M+.</t>
        </is>
      </c>
    </row>
    <row r="30">
      <c r="A30" s="30" t="inlineStr">
        <is>
          <t>• Bloomberg Terminal anchor: ~$30k/user/yr. Our desk pricing ($9k/seat/yr) is deliberately 1/3 of that.</t>
        </is>
      </c>
    </row>
    <row r="31">
      <c r="A31" s="30" t="inlineStr">
        <is>
          <t>• Multiple range reflects early-stage data/fintech comps (2025-26). Get to 3x YoY growth + 90%+ GRR to hit 30x.</t>
        </is>
      </c>
    </row>
  </sheetData>
  <mergeCells count="6">
    <mergeCell ref="A1:G1"/>
    <mergeCell ref="A27:G27"/>
    <mergeCell ref="A31:G31"/>
    <mergeCell ref="A30:G30"/>
    <mergeCell ref="A29:G29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2026-04-28T23:20:40Z</dcterms:created>
  <dcterms:modified xmlns:dcterms="http://purl.org/dc/terms/" xmlns:xsi="http://www.w3.org/2001/XMLSchema-instance" xsi:type="dcterms:W3CDTF">2026-04-28T23:20:40Z</dcterms:modified>
</cp:coreProperties>
</file>